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jects\Other\project-structure\es\Plantillas\"/>
    </mc:Choice>
  </mc:AlternateContent>
  <bookViews>
    <workbookView xWindow="0" yWindow="0" windowWidth="20490" windowHeight="7905"/>
  </bookViews>
  <sheets>
    <sheet name="Configuracion" sheetId="6" r:id="rId1"/>
    <sheet name="Actores" sheetId="1" r:id="rId2"/>
    <sheet name="CasosDeUso" sheetId="2" r:id="rId3"/>
    <sheet name="TCF" sheetId="3" r:id="rId4"/>
    <sheet name="ECF" sheetId="4" r:id="rId5"/>
    <sheet name="Resultados" sheetId="5" r:id="rId6"/>
    <sheet name="Opciones" sheetId="7" state="hidden" r:id="rId7"/>
  </sheets>
  <definedNames>
    <definedName name="Actors_ComplexityTags">optActorsComplexity[Tag]</definedName>
    <definedName name="Actors_UUCP_A">tblActors[[#Totals],[Total]]</definedName>
    <definedName name="Book_Title">"Estimación Puntos de Casos de Uso"</definedName>
    <definedName name="Config_ProjectName">IF(ISNA(VLOOKUP("NombreProyecto", tblConfig[], 2,FALSE)),"", IF(VLOOKUP("NombreProyecto", tblConfig[], 2,FALSE)="", "", VLOOKUP("NombreProyecto", tblConfig[], 2,FALSE)))</definedName>
    <definedName name="ECF_AECF">ECF!$E$17</definedName>
    <definedName name="ECF_EC">ECF!$E$16</definedName>
    <definedName name="ECF_EWF">ECF!$E$15</definedName>
    <definedName name="Results_AECF">Resultados!$C$10</definedName>
    <definedName name="Results_AP">Resultados!$C$12</definedName>
    <definedName name="Results_ATCF">Resultados!$C$9</definedName>
    <definedName name="Results_AUCP">Resultados!$C$11</definedName>
    <definedName name="Results_EE">Resultados!$C$13</definedName>
    <definedName name="Results_UUCP">Resultados!$C$8</definedName>
    <definedName name="Results_UUCP_A">Resultados!$C$6</definedName>
    <definedName name="Results_UUCP_U">Resultados!$C$7</definedName>
    <definedName name="TCF_ATCF">TCF!$E$22</definedName>
    <definedName name="TCF_TC">TCF!$E$21</definedName>
    <definedName name="TCF_TWF">TCF!$E$20</definedName>
    <definedName name="UseCases_ClassesAdjustment">0.09999</definedName>
    <definedName name="UseCases_ClassesWeight">CasosDeUso!$E$5</definedName>
    <definedName name="UseCases_EntitiesAdjustment">0.33333</definedName>
    <definedName name="UseCases_EntitiesWeight">CasosDeUso!$C$5</definedName>
    <definedName name="UseCases_SequencesAdjustment">0.125</definedName>
    <definedName name="UseCases_SequencesWeight">CasosDeUso!$D$5</definedName>
    <definedName name="UseCases_UUCP_U">tblUseCases[[#Totals],[Total]]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5" l="1"/>
  <c r="A1" i="5"/>
  <c r="E11" i="3" l="1"/>
  <c r="E12" i="3"/>
  <c r="E13" i="3"/>
  <c r="E14" i="3"/>
  <c r="E17" i="3"/>
  <c r="E18" i="3"/>
  <c r="E16" i="3"/>
  <c r="E15" i="3"/>
  <c r="E10" i="3"/>
  <c r="E9" i="3"/>
  <c r="E8" i="3"/>
  <c r="E7" i="3"/>
  <c r="E6" i="3"/>
  <c r="E6" i="4"/>
  <c r="E7" i="4"/>
  <c r="E8" i="4"/>
  <c r="E9" i="4"/>
  <c r="E10" i="4"/>
  <c r="E11" i="4"/>
  <c r="E12" i="4"/>
  <c r="E13" i="4"/>
  <c r="A2" i="4"/>
  <c r="A1" i="4"/>
  <c r="A2" i="3"/>
  <c r="A1" i="3"/>
  <c r="F7" i="2"/>
  <c r="G7" i="2" s="1"/>
  <c r="F5" i="2"/>
  <c r="A2" i="2"/>
  <c r="A1" i="2"/>
  <c r="A2" i="1"/>
  <c r="A1" i="1"/>
  <c r="D6" i="1"/>
  <c r="F6" i="1" s="1"/>
  <c r="F7" i="1" s="1"/>
  <c r="C6" i="5" s="1"/>
  <c r="E14" i="4" l="1"/>
  <c r="E17" i="4" s="1"/>
  <c r="C10" i="5" s="1"/>
  <c r="E19" i="3"/>
  <c r="E22" i="3" s="1"/>
  <c r="C9" i="5" s="1"/>
  <c r="I7" i="2"/>
  <c r="I8" i="2" s="1"/>
  <c r="C7" i="5" s="1"/>
  <c r="C8" i="5" s="1"/>
  <c r="C11" i="5" l="1"/>
  <c r="C13" i="5" s="1"/>
</calcChain>
</file>

<file path=xl/sharedStrings.xml><?xml version="1.0" encoding="utf-8"?>
<sst xmlns="http://schemas.openxmlformats.org/spreadsheetml/2006/main" count="150" uniqueCount="133">
  <si>
    <t>Campo</t>
  </si>
  <si>
    <t>Valor</t>
  </si>
  <si>
    <t>Actores</t>
  </si>
  <si>
    <t>Módulo / Paquete</t>
  </si>
  <si>
    <t>Actor</t>
  </si>
  <si>
    <t>Complejidad</t>
  </si>
  <si>
    <t>Multiplicador</t>
  </si>
  <si>
    <t>Total</t>
  </si>
  <si>
    <t>Baja</t>
  </si>
  <si>
    <t>Media</t>
  </si>
  <si>
    <t>Alta</t>
  </si>
  <si>
    <t>Actors_Complexity</t>
  </si>
  <si>
    <t>Tag</t>
  </si>
  <si>
    <t>Value</t>
  </si>
  <si>
    <t>NombreProyecto</t>
  </si>
  <si>
    <t>Id</t>
  </si>
  <si>
    <t>Casos de Uso</t>
  </si>
  <si>
    <t>Caso de Uso</t>
  </si>
  <si>
    <t>Secuencias</t>
  </si>
  <si>
    <t>Clases</t>
  </si>
  <si>
    <t>Entidades</t>
  </si>
  <si>
    <t>Factor</t>
  </si>
  <si>
    <t>Qué tan cierto es que…</t>
  </si>
  <si>
    <t>Ponderación:</t>
  </si>
  <si>
    <t>Ponderación</t>
  </si>
  <si>
    <t>Valor Neto</t>
  </si>
  <si>
    <t>ECF01</t>
  </si>
  <si>
    <t>ECF02</t>
  </si>
  <si>
    <t>ECF03</t>
  </si>
  <si>
    <t>ECF04</t>
  </si>
  <si>
    <t>ECF05</t>
  </si>
  <si>
    <t>ECF06</t>
  </si>
  <si>
    <t>ECF07</t>
  </si>
  <si>
    <t>ECF08</t>
  </si>
  <si>
    <t>El equipo de trabajo está familiarizado con el Proceso Unificado</t>
  </si>
  <si>
    <t>El personal tiene experiencia en este tipo de desarrollo</t>
  </si>
  <si>
    <t>El personal tiene experiencia en OO</t>
  </si>
  <si>
    <t>Los analistas tienen alta capacidad</t>
  </si>
  <si>
    <t>El equipo de trabajo está motivado</t>
  </si>
  <si>
    <t>Los requisitos van a variar de manera predecible</t>
  </si>
  <si>
    <t>Se va a interactuar o trabajar con personal temporal o 1/2 tiempo</t>
  </si>
  <si>
    <t>La curva de aprendizaje o el ambiente de desarrollo son difíciles</t>
  </si>
  <si>
    <t>Familiaridad con el proceso de ingeniería</t>
  </si>
  <si>
    <t>Experiencia en la aplicación</t>
  </si>
  <si>
    <t>Experiencia con orientación a objetos</t>
  </si>
  <si>
    <t>Capacidad de los analistas</t>
  </si>
  <si>
    <t>Motivación</t>
  </si>
  <si>
    <t>Estabilidad de los requisitos</t>
  </si>
  <si>
    <t>Personal de medio tiempo</t>
  </si>
  <si>
    <t>Dificultad del lenguaje de programación</t>
  </si>
  <si>
    <t>TCF01</t>
  </si>
  <si>
    <t>TCF02</t>
  </si>
  <si>
    <t>TCF03</t>
  </si>
  <si>
    <t>TCF04</t>
  </si>
  <si>
    <t>TCF05</t>
  </si>
  <si>
    <t>TCF06</t>
  </si>
  <si>
    <t>TCF07</t>
  </si>
  <si>
    <t>TCF08</t>
  </si>
  <si>
    <t>TCF09</t>
  </si>
  <si>
    <t>TCF10</t>
  </si>
  <si>
    <t>TCF11</t>
  </si>
  <si>
    <t>TCF12</t>
  </si>
  <si>
    <t>TCF13</t>
  </si>
  <si>
    <t>Factores de Complejidad Técnica (TCF)</t>
  </si>
  <si>
    <t>Factores de Complejidad Ambiental (ECF)</t>
  </si>
  <si>
    <t>Constante aplicable al ECF (EC)</t>
  </si>
  <si>
    <t>Factor de Complejidad Ambiental Ajustado (AECF) = EC + (UECF * EWF)</t>
  </si>
  <si>
    <t>Factor de ponderación del ECF (EWF)</t>
  </si>
  <si>
    <t>UECF</t>
  </si>
  <si>
    <t>Factor de Complejidad sin Ajustar</t>
  </si>
  <si>
    <t>Qué tanto va a influir sobre la productividad del desarrollo el que…</t>
  </si>
  <si>
    <t>Este sistema deba escalar o portarse a otras instalaciones</t>
  </si>
  <si>
    <t xml:space="preserve">Este sistema deba garantizar cierto tiempo de respuesta </t>
  </si>
  <si>
    <t>Se requiere de una alta eficiencia de parte del usuario</t>
  </si>
  <si>
    <t>El proceso interno o la obtención de resultados sean complejos</t>
  </si>
  <si>
    <t>El código deberá se reutilizable (encapsulamiento, componentes...)</t>
  </si>
  <si>
    <t>El sistema deberá ser fácil de instalar</t>
  </si>
  <si>
    <t>El sistema deberá ser fácil de usar</t>
  </si>
  <si>
    <t>El sistema o sus módulos deberán ser portables entre ambientes</t>
  </si>
  <si>
    <t>El sistema deberá ser mantenible una vez puesto en marcha</t>
  </si>
  <si>
    <t>El sistema será utilizado por muchos usuarios</t>
  </si>
  <si>
    <t>El sistema deberá contar con caracterísitcas de seguridad</t>
  </si>
  <si>
    <t>El sistema deberá brindar servicios a terceros</t>
  </si>
  <si>
    <t>Los usuarios van a requerir de capacitación especial</t>
  </si>
  <si>
    <t>Sistema distribuido</t>
  </si>
  <si>
    <t>Objetivos de rendimiento o tiempo de respuesta</t>
  </si>
  <si>
    <t>Eficiencia del usuario final (en línea)</t>
  </si>
  <si>
    <t>Complejidad del proceso interno</t>
  </si>
  <si>
    <t>Reutilización de código</t>
  </si>
  <si>
    <t>Facilidad de instalación</t>
  </si>
  <si>
    <t>Facilidad de uso</t>
  </si>
  <si>
    <t>Portabilidad</t>
  </si>
  <si>
    <t>Facilidad para modificar</t>
  </si>
  <si>
    <t>Concurrencia</t>
  </si>
  <si>
    <t>Características especiales de seguridad</t>
  </si>
  <si>
    <t>Acceso directo a terceros</t>
  </si>
  <si>
    <t>Requiere instalaciones especiales para capacitar a los usuarios</t>
  </si>
  <si>
    <t>UTCF</t>
  </si>
  <si>
    <t>Factor de ponderación del TCF (TWF)</t>
  </si>
  <si>
    <t>Factor de Complejidad Técnica Ajustado (ATCF) = TC + (UTCF * TWF)</t>
  </si>
  <si>
    <t>Factor de Complejidad Técnica sin Ajustar</t>
  </si>
  <si>
    <t>Constante aplicable al TCF (TC)</t>
  </si>
  <si>
    <t>Resultados</t>
  </si>
  <si>
    <t>Categoría</t>
  </si>
  <si>
    <t>Este valor proviene de…</t>
  </si>
  <si>
    <t>Factor de Complejidad Técnica Ajustada (ATCF)</t>
  </si>
  <si>
    <t>Factor de Complejidad Ambiental Ajustada (AECF)</t>
  </si>
  <si>
    <t>Total de Puntos de Caso de Usos Ajustados (AUCPs)</t>
  </si>
  <si>
    <t>UUCP</t>
  </si>
  <si>
    <t>Total de UUCPs de Actores (sin Ajustar)</t>
  </si>
  <si>
    <t>Total de UUCPs de Casos de Uso (sin Ajustar)</t>
  </si>
  <si>
    <t>Total de UUCPs [Actores + Casos de Uso] (sin Ajustar)</t>
  </si>
  <si>
    <t>ATCF</t>
  </si>
  <si>
    <t>AECF</t>
  </si>
  <si>
    <t>Nombre / Fórmula</t>
  </si>
  <si>
    <t>Productividad Media</t>
  </si>
  <si>
    <t>Esfuerzo Estimado</t>
  </si>
  <si>
    <t>AUCP = UUCP * ATCF * AECF</t>
  </si>
  <si>
    <t>UUCP_A</t>
  </si>
  <si>
    <t>UUCP_U</t>
  </si>
  <si>
    <t>UUCP = UUCP_A + UUCP_U</t>
  </si>
  <si>
    <t>Nula</t>
  </si>
  <si>
    <t>AP = hrs. / AUCP</t>
  </si>
  <si>
    <t>EE = AUCP * AP</t>
  </si>
  <si>
    <t>La tabla de la pestaña "Actores"</t>
  </si>
  <si>
    <t>La tabla de la pestaña "CasosDeUso"</t>
  </si>
  <si>
    <t>La suma de los valores anteriores</t>
  </si>
  <si>
    <t>La tabla de la pestaña "TCF"</t>
  </si>
  <si>
    <t>La tabla de la pestaña "ECF"</t>
  </si>
  <si>
    <t>El producto de los tres valores anteriores</t>
  </si>
  <si>
    <t>Proporcionado por la gerencia de proyectos</t>
  </si>
  <si>
    <t>El producto de los dos valores anteriores</t>
  </si>
  <si>
    <t>Configuración del Libro Puntos Casos de Uso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</si>
</sst>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6" tint="0.59999389629810485"/>
        <bgColor indexed="65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25">
    <xf numFmtId="0" fontId="0" fillId="0" borderId="0" xfId="0"/>
    <xf numFmtId="164" fontId="0" fillId="0" borderId="0" xfId="0" applyNumberFormat="1"/>
    <xf numFmtId="2" fontId="0" fillId="0" borderId="0" xfId="0" applyNumberFormat="1"/>
    <xf numFmtId="0" fontId="5" fillId="0" borderId="0" xfId="0" applyFont="1" applyAlignment="1">
      <alignment horizontal="left"/>
    </xf>
    <xf numFmtId="0" fontId="1" fillId="6" borderId="0" xfId="5"/>
    <xf numFmtId="0" fontId="2" fillId="5" borderId="0" xfId="4" applyFont="1"/>
    <xf numFmtId="0" fontId="3" fillId="2" borderId="0" xfId="1"/>
    <xf numFmtId="2" fontId="6" fillId="4" borderId="0" xfId="3" applyNumberFormat="1" applyFont="1"/>
    <xf numFmtId="164" fontId="3" fillId="3" borderId="0" xfId="2" applyNumberFormat="1"/>
    <xf numFmtId="164" fontId="6" fillId="4" borderId="0" xfId="3" applyNumberFormat="1" applyFont="1"/>
    <xf numFmtId="164" fontId="2" fillId="5" borderId="0" xfId="4" applyNumberFormat="1" applyFont="1"/>
    <xf numFmtId="0" fontId="0" fillId="0" borderId="0" xfId="0" applyAlignment="1">
      <alignment horizontal="right"/>
    </xf>
    <xf numFmtId="0" fontId="4" fillId="0" borderId="0" xfId="0" applyFont="1" applyAlignment="1"/>
    <xf numFmtId="0" fontId="0" fillId="0" borderId="0" xfId="0" applyAlignment="1"/>
    <xf numFmtId="0" fontId="5" fillId="0" borderId="0" xfId="0" applyFont="1" applyAlignment="1"/>
    <xf numFmtId="0" fontId="3" fillId="3" borderId="0" xfId="2"/>
    <xf numFmtId="164" fontId="1" fillId="7" borderId="0" xfId="6" applyNumberFormat="1"/>
    <xf numFmtId="164" fontId="3" fillId="5" borderId="0" xfId="4" applyNumberFormat="1"/>
    <xf numFmtId="0" fontId="6" fillId="4" borderId="0" xfId="3" applyFont="1"/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2" fillId="5" borderId="0" xfId="4" applyFont="1" applyAlignment="1">
      <alignment horizontal="right"/>
    </xf>
    <xf numFmtId="0" fontId="3" fillId="3" borderId="0" xfId="2" applyAlignment="1">
      <alignment horizontal="right"/>
    </xf>
    <xf numFmtId="0" fontId="2" fillId="5" borderId="0" xfId="4" applyFont="1" applyAlignment="1">
      <alignment horizontal="center"/>
    </xf>
  </cellXfs>
  <cellStyles count="7">
    <cellStyle name="40% - Accent3" xfId="6" builtinId="39"/>
    <cellStyle name="40% - Accent6" xfId="5" builtinId="51"/>
    <cellStyle name="60% - Accent3" xfId="3" builtinId="40"/>
    <cellStyle name="Accent1" xfId="1" builtinId="29"/>
    <cellStyle name="Accent3" xfId="2" builtinId="37"/>
    <cellStyle name="Accent6" xfId="4" builtinId="49"/>
    <cellStyle name="Normal" xfId="0" builtinId="0"/>
  </cellStyles>
  <dxfs count="28">
    <dxf>
      <numFmt numFmtId="164" formatCode="0.0000"/>
    </dxf>
    <dxf>
      <alignment horizontal="right" vertical="bottom" textRotation="0" wrapText="0" indent="0" justifyLastLine="0" shrinkToFit="0" readingOrder="0"/>
    </dxf>
    <dxf>
      <numFmt numFmtId="164" formatCode="0.000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>
          <bgColor rgb="FFFFEB84"/>
        </patternFill>
      </fill>
    </dxf>
    <dxf>
      <fill>
        <patternFill>
          <bgColor rgb="FFF8696B"/>
        </patternFill>
      </fill>
    </dxf>
    <dxf>
      <fill>
        <patternFill>
          <bgColor rgb="FFFFEB84"/>
        </patternFill>
      </fill>
    </dxf>
    <dxf>
      <fill>
        <patternFill>
          <bgColor rgb="FFF8696B"/>
        </patternFill>
      </fill>
    </dxf>
    <dxf>
      <fill>
        <patternFill>
          <bgColor rgb="FFFFEB84"/>
        </patternFill>
      </fill>
    </dxf>
    <dxf>
      <fill>
        <patternFill>
          <bgColor rgb="FF63BE7B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numFmt numFmtId="164" formatCode="0.0000"/>
    </dxf>
    <dxf>
      <numFmt numFmtId="164" formatCode="0.0000"/>
    </dxf>
    <dxf>
      <numFmt numFmtId="2" formatCode="0.0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numFmt numFmtId="164" formatCode="0.0000"/>
    </dxf>
    <dxf>
      <numFmt numFmtId="2" formatCode="0.0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numFmt numFmtId="0" formatCode="General"/>
    </dxf>
    <dxf>
      <numFmt numFmtId="2" formatCode="0.0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</dxfs>
  <tableStyles count="0" defaultTableStyle="TableStyleMedium2" defaultPivotStyle="PivotStyleLight16"/>
  <colors>
    <mruColors>
      <color rgb="FFFFEB84"/>
      <color rgb="FFF8696B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3" name="tblConfig" displayName="tblConfig" ref="A2:B3" totalsRowShown="0">
  <autoFilter ref="A2:B3"/>
  <tableColumns count="2">
    <tableColumn id="1" name="Campo"/>
    <tableColumn id="2" name="Valor"/>
  </tableColumns>
  <tableStyleInfo name="TableStyleMedium9" showFirstColumn="1" showLastColumn="0" showRowStripes="1" showColumnStripes="0"/>
</table>
</file>

<file path=xl/tables/table2.xml><?xml version="1.0" encoding="utf-8"?>
<table xmlns="http://schemas.openxmlformats.org/spreadsheetml/2006/main" id="1" name="tblActors" displayName="tblActors" ref="A5:F7" totalsRowCount="1">
  <autoFilter ref="A5:F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Módulo / Paquete" totalsRowLabel="Total"/>
    <tableColumn id="2" name="Actor"/>
    <tableColumn id="3" name="Complejidad" dataDxfId="13" dataCellStyle="60% - Accent3"/>
    <tableColumn id="4" name="UUCP" dataDxfId="12" dataCellStyle="Accent3">
      <calculatedColumnFormula>IF(tblActors[[#This Row],[Complejidad]]&lt;&gt;"",VLOOKUP(tblActors[Complejidad],optActorsComplexity[],2,FALSE),0)</calculatedColumnFormula>
    </tableColumn>
    <tableColumn id="5" name="Multiplicador" totalsRowLabel="UUCP" dataDxfId="11" totalsRowDxfId="4" dataCellStyle="60% - Accent3"/>
    <tableColumn id="6" name="Total" totalsRowFunction="sum">
      <calculatedColumnFormula>tblActors[UUCP]*tblActors[Multiplicador]</calculatedColumnFormula>
    </tableColumn>
  </tableColumns>
  <tableStyleInfo name="TableStyleMedium9" showFirstColumn="0" showLastColumn="1" showRowStripes="1" showColumnStripes="0"/>
</table>
</file>

<file path=xl/tables/table3.xml><?xml version="1.0" encoding="utf-8"?>
<table xmlns="http://schemas.openxmlformats.org/spreadsheetml/2006/main" id="4" name="tblUseCases" displayName="tblUseCases" ref="A6:I8" totalsRowCount="1">
  <autoFilter ref="A6:I7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name="Módulo / Paquete" totalsRowLabel="Total"/>
    <tableColumn id="2" name="Caso de Uso"/>
    <tableColumn id="8" name="Entidades" dataDxfId="27" dataCellStyle="60% - Accent3"/>
    <tableColumn id="7" name="Secuencias" dataDxfId="26" dataCellStyle="60% - Accent3"/>
    <tableColumn id="9" name="Clases" dataDxfId="25" dataCellStyle="60% - Accent3"/>
    <tableColumn id="3" name="Complejidad" dataDxfId="24">
      <calculatedColumnFormula>ROUND(((tblUseCases[Entidades]*UseCases_EntitiesAdjustment)*UseCases_EntitiesWeight+(tblUseCases[Secuencias]*UseCases_SequencesAdjustment)*UseCases_SequencesWeight+(tblUseCases[Clases]*UseCases_ClassesAdjustment)*UseCases_ClassesWeight), 2)</calculatedColumnFormula>
    </tableColumn>
    <tableColumn id="4" name="UUCP" dataDxfId="23" dataCellStyle="Accent3">
      <calculatedColumnFormula>IF(tblUseCases[Complejidad]&gt;0,MIN((INT(tblUseCases[Complejidad]/0.35)+1)*5, 15),0)</calculatedColumnFormula>
    </tableColumn>
    <tableColumn id="5" name="Multiplicador" totalsRowLabel="UUCP" dataDxfId="22" totalsRowDxfId="21" dataCellStyle="60% - Accent3"/>
    <tableColumn id="6" name="Total" totalsRowFunction="sum">
      <calculatedColumnFormula>tblUseCases[UUCP]*tblUseCases[Multiplicador]</calculatedColumnFormula>
    </tableColumn>
  </tableColumns>
  <tableStyleInfo name="TableStyleMedium9" showFirstColumn="0" showLastColumn="1" showRowStripes="1" showColumnStripes="0"/>
</table>
</file>

<file path=xl/tables/table4.xml><?xml version="1.0" encoding="utf-8"?>
<table xmlns="http://schemas.openxmlformats.org/spreadsheetml/2006/main" id="6" name="tblFCA7" displayName="tblFCA7" ref="A5:F19" totalsRowCount="1">
  <autoFilter ref="A5:F1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Id"/>
    <tableColumn id="2" name="Factor" dataCellStyle="Accent1"/>
    <tableColumn id="3" name="Ponderación" dataDxfId="20" dataCellStyle="60% - Accent3"/>
    <tableColumn id="4" name="Valor" totalsRowLabel="UTCF" dataDxfId="19" totalsRowDxfId="3"/>
    <tableColumn id="5" name="Valor Neto" totalsRowFunction="sum" dataDxfId="18" totalsRowDxfId="2" dataCellStyle="Accent3">
      <calculatedColumnFormula>tblFCA7[[#This Row],[Valor]]*tblFCA7[[#This Row],[Ponderación]]</calculatedColumnFormula>
    </tableColumn>
    <tableColumn id="6" name="Qué tanto va a influir sobre la productividad del desarrollo el que…" totalsRowLabel="Factor de Complejidad Técnica sin Ajustar"/>
  </tableColumns>
  <tableStyleInfo name="TableStyleMedium9" showFirstColumn="1" showLastColumn="1" showRowStripes="1" showColumnStripes="0"/>
</table>
</file>

<file path=xl/tables/table5.xml><?xml version="1.0" encoding="utf-8"?>
<table xmlns="http://schemas.openxmlformats.org/spreadsheetml/2006/main" id="5" name="tblFCA" displayName="tblFCA" ref="A5:F14" totalsRowCount="1">
  <autoFilter ref="A5:F1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Id"/>
    <tableColumn id="2" name="Factor" dataCellStyle="Accent1"/>
    <tableColumn id="3" name="Ponderación" dataDxfId="17" dataCellStyle="60% - Accent3"/>
    <tableColumn id="4" name="Valor" totalsRowLabel="UECF" dataDxfId="16" totalsRowDxfId="1"/>
    <tableColumn id="5" name="Valor Neto" totalsRowFunction="sum" dataDxfId="15" totalsRowDxfId="0" dataCellStyle="Accent3">
      <calculatedColumnFormula>tblFCA[[#This Row],[Valor]]*tblFCA[[#This Row],[Ponderación]]</calculatedColumnFormula>
    </tableColumn>
    <tableColumn id="6" name="Qué tan cierto es que…" totalsRowLabel="Factor de Complejidad sin Ajustar"/>
  </tableColumns>
  <tableStyleInfo name="TableStyleMedium9" showFirstColumn="1" showLastColumn="1" showRowStripes="1" showColumnStripes="0"/>
</table>
</file>

<file path=xl/tables/table6.xml><?xml version="1.0" encoding="utf-8"?>
<table xmlns="http://schemas.openxmlformats.org/spreadsheetml/2006/main" id="7" name="Table7" displayName="Table7" ref="A5:D13" totalsRowShown="0">
  <autoFilter ref="A5:D13">
    <filterColumn colId="0" hiddenButton="1"/>
    <filterColumn colId="1" hiddenButton="1"/>
    <filterColumn colId="2" hiddenButton="1"/>
    <filterColumn colId="3" hiddenButton="1"/>
  </autoFilter>
  <tableColumns count="4">
    <tableColumn id="1" name="Categoría"/>
    <tableColumn id="2" name="Nombre / Fórmula" dataCellStyle="Accent3"/>
    <tableColumn id="3" name="Valor" dataDxfId="14"/>
    <tableColumn id="4" name="Este valor proviene de…"/>
  </tableColumns>
  <tableStyleInfo name="TableStyleMedium9" showFirstColumn="1" showLastColumn="1" showRowStripes="1" showColumnStripes="0"/>
</table>
</file>

<file path=xl/tables/table7.xml><?xml version="1.0" encoding="utf-8"?>
<table xmlns="http://schemas.openxmlformats.org/spreadsheetml/2006/main" id="2" name="optActorsComplexity" displayName="optActorsComplexity" ref="A2:B6" totalsRowShown="0">
  <autoFilter ref="A2:B6"/>
  <tableColumns count="2">
    <tableColumn id="1" name="Tag"/>
    <tableColumn id="2" name="Value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"/>
  <sheetViews>
    <sheetView tabSelected="1" workbookViewId="0">
      <selection sqref="A1:B1"/>
    </sheetView>
  </sheetViews>
  <sheetFormatPr defaultRowHeight="15" x14ac:dyDescent="0.25"/>
  <cols>
    <col min="1" max="1" width="16.28515625" bestFit="1" customWidth="1"/>
    <col min="2" max="2" width="33.140625" customWidth="1"/>
  </cols>
  <sheetData>
    <row r="1" spans="1:2" ht="15.75" x14ac:dyDescent="0.25">
      <c r="A1" s="19" t="s">
        <v>132</v>
      </c>
      <c r="B1" s="19"/>
    </row>
    <row r="2" spans="1:2" x14ac:dyDescent="0.25">
      <c r="A2" t="s">
        <v>0</v>
      </c>
      <c r="B2" t="s">
        <v>1</v>
      </c>
    </row>
    <row r="3" spans="1:2" x14ac:dyDescent="0.25">
      <c r="A3" t="s">
        <v>14</v>
      </c>
    </row>
  </sheetData>
  <mergeCells count="1">
    <mergeCell ref="A1:B1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7"/>
  <sheetViews>
    <sheetView workbookViewId="0">
      <pane ySplit="5" topLeftCell="A6" activePane="bottomLeft" state="frozen"/>
      <selection pane="bottomLeft" sqref="A1:F1"/>
    </sheetView>
  </sheetViews>
  <sheetFormatPr defaultRowHeight="15" x14ac:dyDescent="0.25"/>
  <cols>
    <col min="1" max="1" width="19.7109375" bestFit="1" customWidth="1"/>
    <col min="2" max="2" width="16.28515625" customWidth="1"/>
    <col min="3" max="3" width="14.5703125" bestFit="1" customWidth="1"/>
    <col min="4" max="4" width="9.28515625" bestFit="1" customWidth="1"/>
    <col min="5" max="5" width="15.42578125" bestFit="1" customWidth="1"/>
    <col min="6" max="6" width="7.7109375" bestFit="1" customWidth="1"/>
  </cols>
  <sheetData>
    <row r="1" spans="1:6" ht="15.75" x14ac:dyDescent="0.25">
      <c r="A1" s="19" t="str">
        <f>Book_Title</f>
        <v>Estimación Puntos de Casos de Uso</v>
      </c>
      <c r="B1" s="19"/>
      <c r="C1" s="19"/>
      <c r="D1" s="19"/>
      <c r="E1" s="19"/>
      <c r="F1" s="19"/>
    </row>
    <row r="2" spans="1:6" x14ac:dyDescent="0.25">
      <c r="A2" s="21" t="str">
        <f>CONCATENATE("Proyecto: ", Config_ProjectName)</f>
        <v xml:space="preserve">Proyecto: </v>
      </c>
      <c r="B2" s="21"/>
      <c r="C2" s="21"/>
      <c r="D2" s="21"/>
      <c r="E2" s="21"/>
      <c r="F2" s="21"/>
    </row>
    <row r="3" spans="1:6" x14ac:dyDescent="0.25">
      <c r="A3" s="20" t="s">
        <v>2</v>
      </c>
      <c r="B3" s="20"/>
      <c r="C3" s="20"/>
      <c r="D3" s="20"/>
      <c r="E3" s="20"/>
      <c r="F3" s="20"/>
    </row>
    <row r="5" spans="1:6" x14ac:dyDescent="0.25">
      <c r="A5" t="s">
        <v>3</v>
      </c>
      <c r="B5" t="s">
        <v>4</v>
      </c>
      <c r="C5" t="s">
        <v>5</v>
      </c>
      <c r="D5" t="s">
        <v>108</v>
      </c>
      <c r="E5" t="s">
        <v>6</v>
      </c>
      <c r="F5" t="s">
        <v>7</v>
      </c>
    </row>
    <row r="6" spans="1:6" x14ac:dyDescent="0.25">
      <c r="C6" s="18" t="s">
        <v>121</v>
      </c>
      <c r="D6" s="15">
        <f>IF(tblActors[[#This Row],[Complejidad]]&lt;&gt;"",VLOOKUP(tblActors[Complejidad],optActorsComplexity[],2,FALSE),0)</f>
        <v>0</v>
      </c>
      <c r="E6" s="18"/>
      <c r="F6">
        <f>tblActors[UUCP]*tblActors[Multiplicador]</f>
        <v>0</v>
      </c>
    </row>
    <row r="7" spans="1:6" x14ac:dyDescent="0.25">
      <c r="A7" t="s">
        <v>7</v>
      </c>
      <c r="E7" s="11" t="s">
        <v>108</v>
      </c>
      <c r="F7">
        <f>SUBTOTAL(109,tblActors[Total])</f>
        <v>0</v>
      </c>
    </row>
  </sheetData>
  <mergeCells count="3">
    <mergeCell ref="A1:F1"/>
    <mergeCell ref="A3:F3"/>
    <mergeCell ref="A2:F2"/>
  </mergeCells>
  <conditionalFormatting sqref="C6">
    <cfRule type="containsText" dxfId="10" priority="2" stopIfTrue="1" operator="containsText" text="Baja">
      <formula>NOT(ISERROR(SEARCH("Baja",C6)))</formula>
    </cfRule>
    <cfRule type="containsText" dxfId="9" priority="3" stopIfTrue="1" operator="containsText" text="Media">
      <formula>NOT(ISERROR(SEARCH("Media",C6)))</formula>
    </cfRule>
    <cfRule type="containsText" dxfId="8" priority="4" stopIfTrue="1" operator="containsText" text="Alta">
      <formula>NOT(ISERROR(SEARCH("Alta",C6)))</formula>
    </cfRule>
  </conditionalFormatting>
  <conditionalFormatting sqref="E6">
    <cfRule type="containsBlanks" dxfId="7" priority="1">
      <formula>LEN(TRIM(E6))=0</formula>
    </cfRule>
  </conditionalFormatting>
  <dataValidations count="2">
    <dataValidation type="list" allowBlank="1" showInputMessage="1" showErrorMessage="1" sqref="C6">
      <formula1>Actors_ComplexityTags</formula1>
    </dataValidation>
    <dataValidation type="custom" allowBlank="1" showInputMessage="1" showErrorMessage="1" sqref="E6">
      <formula1>ISNUMBER(E6)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8"/>
  <sheetViews>
    <sheetView workbookViewId="0">
      <pane ySplit="6" topLeftCell="A7" activePane="bottomLeft" state="frozen"/>
      <selection pane="bottomLeft" sqref="A1:I1"/>
    </sheetView>
  </sheetViews>
  <sheetFormatPr defaultRowHeight="15" x14ac:dyDescent="0.25"/>
  <cols>
    <col min="1" max="1" width="19.7109375" bestFit="1" customWidth="1"/>
    <col min="2" max="2" width="14" bestFit="1" customWidth="1"/>
    <col min="3" max="3" width="12" bestFit="1" customWidth="1"/>
    <col min="4" max="4" width="13" bestFit="1" customWidth="1"/>
    <col min="5" max="5" width="8.85546875" bestFit="1" customWidth="1"/>
    <col min="6" max="6" width="14.5703125" bestFit="1" customWidth="1"/>
    <col min="7" max="7" width="9.28515625" bestFit="1" customWidth="1"/>
    <col min="8" max="8" width="15.42578125" bestFit="1" customWidth="1"/>
    <col min="9" max="9" width="7.7109375" bestFit="1" customWidth="1"/>
  </cols>
  <sheetData>
    <row r="1" spans="1:9" ht="15.75" x14ac:dyDescent="0.25">
      <c r="A1" s="19" t="str">
        <f>Book_Title</f>
        <v>Estimación Puntos de Casos de Uso</v>
      </c>
      <c r="B1" s="19"/>
      <c r="C1" s="19"/>
      <c r="D1" s="19"/>
      <c r="E1" s="19"/>
      <c r="F1" s="19"/>
      <c r="G1" s="19"/>
      <c r="H1" s="19"/>
      <c r="I1" s="19"/>
    </row>
    <row r="2" spans="1:9" x14ac:dyDescent="0.25">
      <c r="A2" s="21" t="str">
        <f>CONCATENATE("Proyecto: ", Config_ProjectName)</f>
        <v xml:space="preserve">Proyecto: </v>
      </c>
      <c r="B2" s="21"/>
      <c r="C2" s="21"/>
      <c r="D2" s="21"/>
      <c r="E2" s="21"/>
      <c r="F2" s="21"/>
      <c r="G2" s="21"/>
      <c r="H2" s="21"/>
      <c r="I2" s="21"/>
    </row>
    <row r="3" spans="1:9" x14ac:dyDescent="0.25">
      <c r="A3" s="20" t="s">
        <v>16</v>
      </c>
      <c r="B3" s="20"/>
      <c r="C3" s="20"/>
      <c r="D3" s="20"/>
      <c r="E3" s="20"/>
      <c r="F3" s="20"/>
      <c r="G3" s="20"/>
      <c r="H3" s="20"/>
      <c r="I3" s="20"/>
    </row>
    <row r="4" spans="1:9" x14ac:dyDescent="0.25">
      <c r="A4" s="3"/>
      <c r="B4" s="3"/>
      <c r="C4" s="3"/>
      <c r="D4" s="3"/>
      <c r="E4" s="3"/>
      <c r="F4" s="3"/>
      <c r="G4" s="3"/>
      <c r="H4" s="3"/>
      <c r="I4" s="3"/>
    </row>
    <row r="5" spans="1:9" x14ac:dyDescent="0.25">
      <c r="A5" s="22" t="s">
        <v>23</v>
      </c>
      <c r="B5" s="22"/>
      <c r="C5" s="4">
        <v>0.5</v>
      </c>
      <c r="D5" s="4">
        <v>0.3</v>
      </c>
      <c r="E5" s="4">
        <v>0.2</v>
      </c>
      <c r="F5" s="5">
        <f>SUM(C5:E5)</f>
        <v>1</v>
      </c>
    </row>
    <row r="6" spans="1:9" x14ac:dyDescent="0.25">
      <c r="A6" t="s">
        <v>3</v>
      </c>
      <c r="B6" t="s">
        <v>17</v>
      </c>
      <c r="C6" t="s">
        <v>20</v>
      </c>
      <c r="D6" t="s">
        <v>18</v>
      </c>
      <c r="E6" t="s">
        <v>19</v>
      </c>
      <c r="F6" t="s">
        <v>5</v>
      </c>
      <c r="G6" t="s">
        <v>108</v>
      </c>
      <c r="H6" t="s">
        <v>6</v>
      </c>
      <c r="I6" t="s">
        <v>7</v>
      </c>
    </row>
    <row r="7" spans="1:9" x14ac:dyDescent="0.25">
      <c r="C7" s="18"/>
      <c r="D7" s="18"/>
      <c r="E7" s="18"/>
      <c r="F7" s="2">
        <f>ROUND(((tblUseCases[Entidades]*UseCases_EntitiesAdjustment)*UseCases_EntitiesWeight+(tblUseCases[Secuencias]*UseCases_SequencesAdjustment)*UseCases_SequencesWeight+(tblUseCases[Clases]*UseCases_ClassesAdjustment)*UseCases_ClassesWeight), 2)</f>
        <v>0</v>
      </c>
      <c r="G7" s="15">
        <f>IF(tblUseCases[Complejidad]&gt;0,MIN((INT(tblUseCases[Complejidad]/0.35)+1)*5, 15),0)</f>
        <v>0</v>
      </c>
      <c r="H7" s="18"/>
      <c r="I7">
        <f>tblUseCases[UUCP]*tblUseCases[Multiplicador]</f>
        <v>0</v>
      </c>
    </row>
    <row r="8" spans="1:9" x14ac:dyDescent="0.25">
      <c r="A8" t="s">
        <v>7</v>
      </c>
      <c r="H8" s="11" t="s">
        <v>108</v>
      </c>
      <c r="I8">
        <f>SUBTOTAL(109,tblUseCases[Total])</f>
        <v>0</v>
      </c>
    </row>
  </sheetData>
  <mergeCells count="4">
    <mergeCell ref="A1:I1"/>
    <mergeCell ref="A2:I2"/>
    <mergeCell ref="A3:I3"/>
    <mergeCell ref="A5:B5"/>
  </mergeCells>
  <conditionalFormatting sqref="C7">
    <cfRule type="colorScale" priority="6">
      <colorScale>
        <cfvo type="num" val="1"/>
        <cfvo type="num" val="2"/>
        <cfvo type="num" val="3"/>
        <color rgb="FF63BE7B"/>
        <color rgb="FFFFEB84"/>
        <color rgb="FFF8696B"/>
      </colorScale>
    </cfRule>
  </conditionalFormatting>
  <conditionalFormatting sqref="D7">
    <cfRule type="colorScale" priority="5">
      <colorScale>
        <cfvo type="num" val="1"/>
        <cfvo type="num" val="4"/>
        <cfvo type="num" val="8"/>
        <color rgb="FF63BE7B"/>
        <color rgb="FFFFEB84"/>
        <color rgb="FFF8696B"/>
      </colorScale>
    </cfRule>
  </conditionalFormatting>
  <conditionalFormatting sqref="E7">
    <cfRule type="colorScale" priority="4">
      <colorScale>
        <cfvo type="num" val="1"/>
        <cfvo type="num" val="5"/>
        <cfvo type="num" val="11"/>
        <color rgb="FF63BE7B"/>
        <color rgb="FFFFEB84"/>
        <color rgb="FFF8696B"/>
      </colorScale>
    </cfRule>
  </conditionalFormatting>
  <conditionalFormatting sqref="F7">
    <cfRule type="colorScale" priority="3">
      <colorScale>
        <cfvo type="num" val="0"/>
        <cfvo type="num" val="0.33333000000000002"/>
        <cfvo type="num" val="0.7"/>
        <color rgb="FF63BE7B"/>
        <color rgb="FFFFEB84"/>
        <color rgb="FFF8696B"/>
      </colorScale>
    </cfRule>
  </conditionalFormatting>
  <conditionalFormatting sqref="F5">
    <cfRule type="cellIs" dxfId="6" priority="2" operator="notEqual">
      <formula>1</formula>
    </cfRule>
  </conditionalFormatting>
  <conditionalFormatting sqref="H7">
    <cfRule type="containsBlanks" dxfId="5" priority="1">
      <formula>LEN(TRIM(H7))=0</formula>
    </cfRule>
  </conditionalFormatting>
  <dataValidations count="3">
    <dataValidation type="whole" operator="greaterThanOrEqual" allowBlank="1" showInputMessage="1" showErrorMessage="1" sqref="C7:E7">
      <formula1>0</formula1>
    </dataValidation>
    <dataValidation type="decimal" allowBlank="1" showInputMessage="1" showErrorMessage="1" sqref="C5:E5">
      <formula1>0</formula1>
      <formula2>1</formula2>
    </dataValidation>
    <dataValidation type="custom" allowBlank="1" showInputMessage="1" showErrorMessage="1" sqref="H7">
      <formula1>ISNUMBER(H7)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2"/>
  <sheetViews>
    <sheetView workbookViewId="0">
      <pane ySplit="5" topLeftCell="A6" activePane="bottomLeft" state="frozen"/>
      <selection pane="bottomLeft" sqref="A1:F1"/>
    </sheetView>
  </sheetViews>
  <sheetFormatPr defaultRowHeight="15" x14ac:dyDescent="0.25"/>
  <cols>
    <col min="1" max="1" width="6.140625" bestFit="1" customWidth="1"/>
    <col min="2" max="2" width="57.28515625" bestFit="1" customWidth="1"/>
    <col min="3" max="3" width="12.140625" bestFit="1" customWidth="1"/>
    <col min="4" max="4" width="10.5703125" customWidth="1"/>
    <col min="5" max="5" width="10.5703125" bestFit="1" customWidth="1"/>
    <col min="6" max="6" width="62.28515625" bestFit="1" customWidth="1"/>
  </cols>
  <sheetData>
    <row r="1" spans="1:6" ht="15.75" x14ac:dyDescent="0.25">
      <c r="A1" s="19" t="str">
        <f>Book_Title</f>
        <v>Estimación Puntos de Casos de Uso</v>
      </c>
      <c r="B1" s="19"/>
      <c r="C1" s="19"/>
      <c r="D1" s="19"/>
      <c r="E1" s="19"/>
      <c r="F1" s="19"/>
    </row>
    <row r="2" spans="1:6" x14ac:dyDescent="0.25">
      <c r="A2" s="21" t="str">
        <f>CONCATENATE("Proyecto: ", Config_ProjectName)</f>
        <v xml:space="preserve">Proyecto: </v>
      </c>
      <c r="B2" s="21"/>
      <c r="C2" s="21"/>
      <c r="D2" s="21"/>
      <c r="E2" s="21"/>
      <c r="F2" s="21"/>
    </row>
    <row r="3" spans="1:6" x14ac:dyDescent="0.25">
      <c r="A3" s="20" t="s">
        <v>63</v>
      </c>
      <c r="B3" s="20"/>
      <c r="C3" s="20"/>
      <c r="D3" s="20"/>
      <c r="E3" s="20"/>
      <c r="F3" s="20"/>
    </row>
    <row r="5" spans="1:6" x14ac:dyDescent="0.25">
      <c r="A5" t="s">
        <v>15</v>
      </c>
      <c r="B5" t="s">
        <v>21</v>
      </c>
      <c r="C5" t="s">
        <v>24</v>
      </c>
      <c r="D5" t="s">
        <v>1</v>
      </c>
      <c r="E5" t="s">
        <v>25</v>
      </c>
      <c r="F5" t="s">
        <v>70</v>
      </c>
    </row>
    <row r="6" spans="1:6" x14ac:dyDescent="0.25">
      <c r="A6" t="s">
        <v>50</v>
      </c>
      <c r="B6" s="6" t="s">
        <v>84</v>
      </c>
      <c r="C6" s="7">
        <v>2</v>
      </c>
      <c r="D6" s="2"/>
      <c r="E6" s="8">
        <f>tblFCA7[[#This Row],[Valor]]*tblFCA7[[#This Row],[Ponderación]]</f>
        <v>0</v>
      </c>
      <c r="F6" t="s">
        <v>71</v>
      </c>
    </row>
    <row r="7" spans="1:6" x14ac:dyDescent="0.25">
      <c r="A7" t="s">
        <v>51</v>
      </c>
      <c r="B7" s="6" t="s">
        <v>85</v>
      </c>
      <c r="C7" s="7">
        <v>1</v>
      </c>
      <c r="D7" s="2"/>
      <c r="E7" s="8">
        <f>tblFCA7[[#This Row],[Valor]]*tblFCA7[[#This Row],[Ponderación]]</f>
        <v>0</v>
      </c>
      <c r="F7" t="s">
        <v>72</v>
      </c>
    </row>
    <row r="8" spans="1:6" x14ac:dyDescent="0.25">
      <c r="A8" t="s">
        <v>52</v>
      </c>
      <c r="B8" s="6" t="s">
        <v>86</v>
      </c>
      <c r="C8" s="7">
        <v>1</v>
      </c>
      <c r="D8" s="2"/>
      <c r="E8" s="8">
        <f>tblFCA7[[#This Row],[Valor]]*tblFCA7[[#This Row],[Ponderación]]</f>
        <v>0</v>
      </c>
      <c r="F8" t="s">
        <v>73</v>
      </c>
    </row>
    <row r="9" spans="1:6" x14ac:dyDescent="0.25">
      <c r="A9" t="s">
        <v>53</v>
      </c>
      <c r="B9" s="6" t="s">
        <v>87</v>
      </c>
      <c r="C9" s="7">
        <v>1</v>
      </c>
      <c r="D9" s="2"/>
      <c r="E9" s="8">
        <f>tblFCA7[[#This Row],[Valor]]*tblFCA7[[#This Row],[Ponderación]]</f>
        <v>0</v>
      </c>
      <c r="F9" t="s">
        <v>74</v>
      </c>
    </row>
    <row r="10" spans="1:6" x14ac:dyDescent="0.25">
      <c r="A10" t="s">
        <v>54</v>
      </c>
      <c r="B10" s="6" t="s">
        <v>88</v>
      </c>
      <c r="C10" s="7">
        <v>1</v>
      </c>
      <c r="D10" s="2"/>
      <c r="E10" s="8">
        <f>tblFCA7[[#This Row],[Valor]]*tblFCA7[[#This Row],[Ponderación]]</f>
        <v>0</v>
      </c>
      <c r="F10" t="s">
        <v>75</v>
      </c>
    </row>
    <row r="11" spans="1:6" x14ac:dyDescent="0.25">
      <c r="A11" t="s">
        <v>55</v>
      </c>
      <c r="B11" s="6" t="s">
        <v>89</v>
      </c>
      <c r="C11" s="7">
        <v>0.5</v>
      </c>
      <c r="D11" s="2"/>
      <c r="E11" s="8">
        <f>tblFCA7[[#This Row],[Valor]]*tblFCA7[[#This Row],[Ponderación]]</f>
        <v>0</v>
      </c>
      <c r="F11" t="s">
        <v>76</v>
      </c>
    </row>
    <row r="12" spans="1:6" x14ac:dyDescent="0.25">
      <c r="A12" t="s">
        <v>56</v>
      </c>
      <c r="B12" s="6" t="s">
        <v>90</v>
      </c>
      <c r="C12" s="7">
        <v>0.5</v>
      </c>
      <c r="D12" s="2"/>
      <c r="E12" s="8">
        <f>tblFCA7[[#This Row],[Valor]]*tblFCA7[[#This Row],[Ponderación]]</f>
        <v>0</v>
      </c>
      <c r="F12" t="s">
        <v>77</v>
      </c>
    </row>
    <row r="13" spans="1:6" x14ac:dyDescent="0.25">
      <c r="A13" t="s">
        <v>57</v>
      </c>
      <c r="B13" s="6" t="s">
        <v>91</v>
      </c>
      <c r="C13" s="7">
        <v>2</v>
      </c>
      <c r="D13" s="2"/>
      <c r="E13" s="8">
        <f>tblFCA7[[#This Row],[Valor]]*tblFCA7[[#This Row],[Ponderación]]</f>
        <v>0</v>
      </c>
      <c r="F13" t="s">
        <v>78</v>
      </c>
    </row>
    <row r="14" spans="1:6" x14ac:dyDescent="0.25">
      <c r="A14" t="s">
        <v>58</v>
      </c>
      <c r="B14" s="6" t="s">
        <v>92</v>
      </c>
      <c r="C14" s="7">
        <v>1</v>
      </c>
      <c r="D14" s="2"/>
      <c r="E14" s="8">
        <f>tblFCA7[[#This Row],[Valor]]*tblFCA7[[#This Row],[Ponderación]]</f>
        <v>0</v>
      </c>
      <c r="F14" t="s">
        <v>79</v>
      </c>
    </row>
    <row r="15" spans="1:6" x14ac:dyDescent="0.25">
      <c r="A15" t="s">
        <v>59</v>
      </c>
      <c r="B15" s="6" t="s">
        <v>93</v>
      </c>
      <c r="C15" s="7">
        <v>1</v>
      </c>
      <c r="D15" s="2"/>
      <c r="E15" s="8">
        <f>tblFCA7[[#This Row],[Valor]]*tblFCA7[[#This Row],[Ponderación]]</f>
        <v>0</v>
      </c>
      <c r="F15" t="s">
        <v>80</v>
      </c>
    </row>
    <row r="16" spans="1:6" x14ac:dyDescent="0.25">
      <c r="A16" t="s">
        <v>60</v>
      </c>
      <c r="B16" s="6" t="s">
        <v>94</v>
      </c>
      <c r="C16" s="7">
        <v>1</v>
      </c>
      <c r="D16" s="2"/>
      <c r="E16" s="8">
        <f>tblFCA7[[#This Row],[Valor]]*tblFCA7[[#This Row],[Ponderación]]</f>
        <v>0</v>
      </c>
      <c r="F16" t="s">
        <v>81</v>
      </c>
    </row>
    <row r="17" spans="1:6" x14ac:dyDescent="0.25">
      <c r="A17" t="s">
        <v>61</v>
      </c>
      <c r="B17" s="6" t="s">
        <v>95</v>
      </c>
      <c r="C17" s="7">
        <v>1</v>
      </c>
      <c r="D17" s="2"/>
      <c r="E17" s="8">
        <f>tblFCA7[[#This Row],[Valor]]*tblFCA7[[#This Row],[Ponderación]]</f>
        <v>0</v>
      </c>
      <c r="F17" t="s">
        <v>82</v>
      </c>
    </row>
    <row r="18" spans="1:6" x14ac:dyDescent="0.25">
      <c r="A18" t="s">
        <v>62</v>
      </c>
      <c r="B18" s="6" t="s">
        <v>96</v>
      </c>
      <c r="C18" s="7">
        <v>1</v>
      </c>
      <c r="D18" s="2"/>
      <c r="E18" s="8">
        <f>tblFCA7[[#This Row],[Valor]]*tblFCA7[[#This Row],[Ponderación]]</f>
        <v>0</v>
      </c>
      <c r="F18" t="s">
        <v>83</v>
      </c>
    </row>
    <row r="19" spans="1:6" x14ac:dyDescent="0.25">
      <c r="D19" s="11" t="s">
        <v>97</v>
      </c>
      <c r="E19" s="1">
        <f>SUBTOTAL(109,tblFCA7[Valor Neto])</f>
        <v>0</v>
      </c>
      <c r="F19" t="s">
        <v>100</v>
      </c>
    </row>
    <row r="20" spans="1:6" x14ac:dyDescent="0.25">
      <c r="A20" s="23" t="s">
        <v>98</v>
      </c>
      <c r="B20" s="23"/>
      <c r="C20" s="23"/>
      <c r="D20" s="23"/>
      <c r="E20" s="9">
        <v>0.01</v>
      </c>
    </row>
    <row r="21" spans="1:6" x14ac:dyDescent="0.25">
      <c r="A21" s="23" t="s">
        <v>101</v>
      </c>
      <c r="B21" s="23"/>
      <c r="C21" s="23"/>
      <c r="D21" s="23"/>
      <c r="E21" s="9">
        <v>0.6</v>
      </c>
    </row>
    <row r="22" spans="1:6" x14ac:dyDescent="0.25">
      <c r="A22" s="22" t="s">
        <v>99</v>
      </c>
      <c r="B22" s="22"/>
      <c r="C22" s="22"/>
      <c r="D22" s="22"/>
      <c r="E22" s="10">
        <f>TCF_TC+(tblFCA7[[#Totals],[Valor Neto]]*TCF_TWF)</f>
        <v>0.6</v>
      </c>
    </row>
  </sheetData>
  <mergeCells count="6">
    <mergeCell ref="A22:D22"/>
    <mergeCell ref="A1:F1"/>
    <mergeCell ref="A2:F2"/>
    <mergeCell ref="A3:F3"/>
    <mergeCell ref="A20:D20"/>
    <mergeCell ref="A21:D21"/>
  </mergeCells>
  <dataValidations count="1">
    <dataValidation type="custom" allowBlank="1" showInputMessage="1" showErrorMessage="1" sqref="C6:D18 E20 E21">
      <formula1>ISNUMBER(C6)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7"/>
  <sheetViews>
    <sheetView workbookViewId="0">
      <pane ySplit="5" topLeftCell="A6" activePane="bottomLeft" state="frozen"/>
      <selection pane="bottomLeft" sqref="A1:F1"/>
    </sheetView>
  </sheetViews>
  <sheetFormatPr defaultRowHeight="15" x14ac:dyDescent="0.25"/>
  <cols>
    <col min="1" max="1" width="6.140625" bestFit="1" customWidth="1"/>
    <col min="2" max="2" width="38.140625" bestFit="1" customWidth="1"/>
    <col min="3" max="3" width="12.140625" bestFit="1" customWidth="1"/>
    <col min="4" max="4" width="10.5703125" customWidth="1"/>
    <col min="5" max="5" width="10.5703125" bestFit="1" customWidth="1"/>
    <col min="6" max="6" width="59.7109375" bestFit="1" customWidth="1"/>
  </cols>
  <sheetData>
    <row r="1" spans="1:6" ht="15.75" x14ac:dyDescent="0.25">
      <c r="A1" s="19" t="str">
        <f>Book_Title</f>
        <v>Estimación Puntos de Casos de Uso</v>
      </c>
      <c r="B1" s="19"/>
      <c r="C1" s="19"/>
      <c r="D1" s="19"/>
      <c r="E1" s="19"/>
      <c r="F1" s="19"/>
    </row>
    <row r="2" spans="1:6" x14ac:dyDescent="0.25">
      <c r="A2" s="21" t="str">
        <f>CONCATENATE("Proyecto: ", Config_ProjectName)</f>
        <v xml:space="preserve">Proyecto: </v>
      </c>
      <c r="B2" s="21"/>
      <c r="C2" s="21"/>
      <c r="D2" s="21"/>
      <c r="E2" s="21"/>
      <c r="F2" s="21"/>
    </row>
    <row r="3" spans="1:6" x14ac:dyDescent="0.25">
      <c r="A3" s="20" t="s">
        <v>64</v>
      </c>
      <c r="B3" s="20"/>
      <c r="C3" s="20"/>
      <c r="D3" s="20"/>
      <c r="E3" s="20"/>
      <c r="F3" s="20"/>
    </row>
    <row r="5" spans="1:6" x14ac:dyDescent="0.25">
      <c r="A5" t="s">
        <v>15</v>
      </c>
      <c r="B5" t="s">
        <v>21</v>
      </c>
      <c r="C5" t="s">
        <v>24</v>
      </c>
      <c r="D5" t="s">
        <v>1</v>
      </c>
      <c r="E5" t="s">
        <v>25</v>
      </c>
      <c r="F5" t="s">
        <v>22</v>
      </c>
    </row>
    <row r="6" spans="1:6" x14ac:dyDescent="0.25">
      <c r="A6" t="s">
        <v>26</v>
      </c>
      <c r="B6" s="6" t="s">
        <v>42</v>
      </c>
      <c r="C6" s="7">
        <v>1.5</v>
      </c>
      <c r="D6" s="2"/>
      <c r="E6" s="8">
        <f>tblFCA[[#This Row],[Valor]]*tblFCA[[#This Row],[Ponderación]]</f>
        <v>0</v>
      </c>
      <c r="F6" t="s">
        <v>34</v>
      </c>
    </row>
    <row r="7" spans="1:6" x14ac:dyDescent="0.25">
      <c r="A7" t="s">
        <v>27</v>
      </c>
      <c r="B7" s="6" t="s">
        <v>43</v>
      </c>
      <c r="C7" s="7">
        <v>0.5</v>
      </c>
      <c r="D7" s="2"/>
      <c r="E7" s="8">
        <f>tblFCA[[#This Row],[Valor]]*tblFCA[[#This Row],[Ponderación]]</f>
        <v>0</v>
      </c>
      <c r="F7" t="s">
        <v>35</v>
      </c>
    </row>
    <row r="8" spans="1:6" x14ac:dyDescent="0.25">
      <c r="A8" t="s">
        <v>28</v>
      </c>
      <c r="B8" s="6" t="s">
        <v>44</v>
      </c>
      <c r="C8" s="7">
        <v>1</v>
      </c>
      <c r="D8" s="2"/>
      <c r="E8" s="8">
        <f>tblFCA[[#This Row],[Valor]]*tblFCA[[#This Row],[Ponderación]]</f>
        <v>0</v>
      </c>
      <c r="F8" t="s">
        <v>36</v>
      </c>
    </row>
    <row r="9" spans="1:6" x14ac:dyDescent="0.25">
      <c r="A9" t="s">
        <v>29</v>
      </c>
      <c r="B9" s="6" t="s">
        <v>45</v>
      </c>
      <c r="C9" s="7">
        <v>0.5</v>
      </c>
      <c r="D9" s="2"/>
      <c r="E9" s="8">
        <f>tblFCA[[#This Row],[Valor]]*tblFCA[[#This Row],[Ponderación]]</f>
        <v>0</v>
      </c>
      <c r="F9" t="s">
        <v>37</v>
      </c>
    </row>
    <row r="10" spans="1:6" x14ac:dyDescent="0.25">
      <c r="A10" t="s">
        <v>30</v>
      </c>
      <c r="B10" s="6" t="s">
        <v>46</v>
      </c>
      <c r="C10" s="7">
        <v>1</v>
      </c>
      <c r="D10" s="2"/>
      <c r="E10" s="8">
        <f>tblFCA[[#This Row],[Valor]]*tblFCA[[#This Row],[Ponderación]]</f>
        <v>0</v>
      </c>
      <c r="F10" t="s">
        <v>38</v>
      </c>
    </row>
    <row r="11" spans="1:6" x14ac:dyDescent="0.25">
      <c r="A11" t="s">
        <v>31</v>
      </c>
      <c r="B11" s="6" t="s">
        <v>47</v>
      </c>
      <c r="C11" s="7">
        <v>2</v>
      </c>
      <c r="D11" s="2"/>
      <c r="E11" s="8">
        <f>tblFCA[[#This Row],[Valor]]*tblFCA[[#This Row],[Ponderación]]</f>
        <v>0</v>
      </c>
      <c r="F11" t="s">
        <v>39</v>
      </c>
    </row>
    <row r="12" spans="1:6" x14ac:dyDescent="0.25">
      <c r="A12" t="s">
        <v>32</v>
      </c>
      <c r="B12" s="6" t="s">
        <v>48</v>
      </c>
      <c r="C12" s="7">
        <v>-1</v>
      </c>
      <c r="D12" s="2"/>
      <c r="E12" s="8">
        <f>tblFCA[[#This Row],[Valor]]*tblFCA[[#This Row],[Ponderación]]</f>
        <v>0</v>
      </c>
      <c r="F12" t="s">
        <v>40</v>
      </c>
    </row>
    <row r="13" spans="1:6" x14ac:dyDescent="0.25">
      <c r="A13" t="s">
        <v>33</v>
      </c>
      <c r="B13" s="6" t="s">
        <v>49</v>
      </c>
      <c r="C13" s="7">
        <v>-1</v>
      </c>
      <c r="D13" s="2"/>
      <c r="E13" s="8">
        <f>tblFCA[[#This Row],[Valor]]*tblFCA[[#This Row],[Ponderación]]</f>
        <v>0</v>
      </c>
      <c r="F13" t="s">
        <v>41</v>
      </c>
    </row>
    <row r="14" spans="1:6" x14ac:dyDescent="0.25">
      <c r="D14" s="11" t="s">
        <v>68</v>
      </c>
      <c r="E14" s="1">
        <f>SUBTOTAL(109,tblFCA[Valor Neto])</f>
        <v>0</v>
      </c>
      <c r="F14" t="s">
        <v>69</v>
      </c>
    </row>
    <row r="15" spans="1:6" x14ac:dyDescent="0.25">
      <c r="A15" s="23" t="s">
        <v>67</v>
      </c>
      <c r="B15" s="23"/>
      <c r="C15" s="23"/>
      <c r="D15" s="23"/>
      <c r="E15" s="9">
        <v>-0.03</v>
      </c>
    </row>
    <row r="16" spans="1:6" x14ac:dyDescent="0.25">
      <c r="A16" s="23" t="s">
        <v>65</v>
      </c>
      <c r="B16" s="23"/>
      <c r="C16" s="23"/>
      <c r="D16" s="23"/>
      <c r="E16" s="9">
        <v>1.4</v>
      </c>
    </row>
    <row r="17" spans="1:5" x14ac:dyDescent="0.25">
      <c r="A17" s="22" t="s">
        <v>66</v>
      </c>
      <c r="B17" s="22"/>
      <c r="C17" s="22"/>
      <c r="D17" s="22"/>
      <c r="E17" s="10">
        <f>ECF_EC+(tblFCA[[#Totals],[Valor Neto]]*ECF_EWF)</f>
        <v>1.4</v>
      </c>
    </row>
  </sheetData>
  <mergeCells count="6">
    <mergeCell ref="A17:D17"/>
    <mergeCell ref="A16:D16"/>
    <mergeCell ref="A15:D15"/>
    <mergeCell ref="A1:F1"/>
    <mergeCell ref="A2:F2"/>
    <mergeCell ref="A3:F3"/>
  </mergeCells>
  <dataValidations count="1">
    <dataValidation type="custom" allowBlank="1" showInputMessage="1" showErrorMessage="1" sqref="C6:D13 E15 E16">
      <formula1>ISNUMBER(C6)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3"/>
  <sheetViews>
    <sheetView workbookViewId="0">
      <pane ySplit="5" topLeftCell="A6" activePane="bottomLeft" state="frozen"/>
      <selection pane="bottomLeft" sqref="A1:D1"/>
    </sheetView>
  </sheetViews>
  <sheetFormatPr defaultRowHeight="15" x14ac:dyDescent="0.25"/>
  <cols>
    <col min="1" max="1" width="48.5703125" bestFit="1" customWidth="1"/>
    <col min="2" max="2" width="25.7109375" bestFit="1" customWidth="1"/>
    <col min="3" max="3" width="7.5703125" bestFit="1" customWidth="1"/>
    <col min="4" max="4" width="40.28515625" bestFit="1" customWidth="1"/>
  </cols>
  <sheetData>
    <row r="1" spans="1:6" ht="15.75" x14ac:dyDescent="0.25">
      <c r="A1" s="19" t="str">
        <f>Book_Title</f>
        <v>Estimación Puntos de Casos de Uso</v>
      </c>
      <c r="B1" s="19"/>
      <c r="C1" s="19"/>
      <c r="D1" s="19"/>
      <c r="E1" s="12"/>
      <c r="F1" s="12"/>
    </row>
    <row r="2" spans="1:6" x14ac:dyDescent="0.25">
      <c r="A2" s="21" t="str">
        <f>CONCATENATE("Proyecto: ", Config_ProjectName)</f>
        <v xml:space="preserve">Proyecto: </v>
      </c>
      <c r="B2" s="21"/>
      <c r="C2" s="21"/>
      <c r="D2" s="21"/>
      <c r="E2" s="13"/>
      <c r="F2" s="13"/>
    </row>
    <row r="3" spans="1:6" x14ac:dyDescent="0.25">
      <c r="A3" s="20" t="s">
        <v>102</v>
      </c>
      <c r="B3" s="20"/>
      <c r="C3" s="20"/>
      <c r="D3" s="20"/>
      <c r="E3" s="14"/>
      <c r="F3" s="14"/>
    </row>
    <row r="5" spans="1:6" x14ac:dyDescent="0.25">
      <c r="A5" t="s">
        <v>103</v>
      </c>
      <c r="B5" t="s">
        <v>114</v>
      </c>
      <c r="C5" t="s">
        <v>1</v>
      </c>
      <c r="D5" t="s">
        <v>104</v>
      </c>
    </row>
    <row r="6" spans="1:6" x14ac:dyDescent="0.25">
      <c r="A6" t="s">
        <v>109</v>
      </c>
      <c r="B6" s="15" t="s">
        <v>118</v>
      </c>
      <c r="C6" s="8">
        <f>Actors_UUCP_A</f>
        <v>0</v>
      </c>
      <c r="D6" t="s">
        <v>124</v>
      </c>
    </row>
    <row r="7" spans="1:6" x14ac:dyDescent="0.25">
      <c r="A7" t="s">
        <v>110</v>
      </c>
      <c r="B7" s="15" t="s">
        <v>119</v>
      </c>
      <c r="C7" s="8">
        <f>UseCases_UUCP_U</f>
        <v>0</v>
      </c>
      <c r="D7" t="s">
        <v>125</v>
      </c>
    </row>
    <row r="8" spans="1:6" x14ac:dyDescent="0.25">
      <c r="A8" t="s">
        <v>111</v>
      </c>
      <c r="B8" s="15" t="s">
        <v>120</v>
      </c>
      <c r="C8" s="8">
        <f>Results_UUCP_A+Results_UUCP_U</f>
        <v>0</v>
      </c>
      <c r="D8" t="s">
        <v>126</v>
      </c>
    </row>
    <row r="9" spans="1:6" x14ac:dyDescent="0.25">
      <c r="A9" t="s">
        <v>105</v>
      </c>
      <c r="B9" s="15" t="s">
        <v>112</v>
      </c>
      <c r="C9" s="8">
        <f>TCF_ATCF</f>
        <v>0.6</v>
      </c>
      <c r="D9" t="s">
        <v>127</v>
      </c>
    </row>
    <row r="10" spans="1:6" x14ac:dyDescent="0.25">
      <c r="A10" t="s">
        <v>106</v>
      </c>
      <c r="B10" s="15" t="s">
        <v>113</v>
      </c>
      <c r="C10" s="8">
        <f>ECF_AECF</f>
        <v>1.4</v>
      </c>
      <c r="D10" t="s">
        <v>128</v>
      </c>
    </row>
    <row r="11" spans="1:6" x14ac:dyDescent="0.25">
      <c r="A11" t="s">
        <v>107</v>
      </c>
      <c r="B11" s="15" t="s">
        <v>117</v>
      </c>
      <c r="C11" s="8">
        <f>Results_UUCP*Results_ATCF*Results_AECF</f>
        <v>0</v>
      </c>
      <c r="D11" t="s">
        <v>129</v>
      </c>
    </row>
    <row r="12" spans="1:6" x14ac:dyDescent="0.25">
      <c r="A12" t="s">
        <v>115</v>
      </c>
      <c r="B12" s="15" t="s">
        <v>122</v>
      </c>
      <c r="C12" s="16">
        <v>15</v>
      </c>
      <c r="D12" t="s">
        <v>130</v>
      </c>
    </row>
    <row r="13" spans="1:6" x14ac:dyDescent="0.25">
      <c r="A13" t="s">
        <v>116</v>
      </c>
      <c r="B13" s="15" t="s">
        <v>123</v>
      </c>
      <c r="C13" s="17">
        <f>Results_AUCP*Results_AP</f>
        <v>0</v>
      </c>
      <c r="D13" t="s">
        <v>131</v>
      </c>
    </row>
  </sheetData>
  <mergeCells count="3">
    <mergeCell ref="A1:D1"/>
    <mergeCell ref="A2:D2"/>
    <mergeCell ref="A3:D3"/>
  </mergeCells>
  <dataValidations count="1">
    <dataValidation type="custom" allowBlank="1" showInputMessage="1" showErrorMessage="1" sqref="C12">
      <formula1>ISNUMBER(C12)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6"/>
  <sheetViews>
    <sheetView workbookViewId="0">
      <selection activeCell="A4" sqref="A4"/>
    </sheetView>
  </sheetViews>
  <sheetFormatPr defaultRowHeight="15" x14ac:dyDescent="0.25"/>
  <cols>
    <col min="1" max="1" width="20.28515625" bestFit="1" customWidth="1"/>
  </cols>
  <sheetData>
    <row r="1" spans="1:2" x14ac:dyDescent="0.25">
      <c r="A1" s="24" t="s">
        <v>11</v>
      </c>
      <c r="B1" s="24"/>
    </row>
    <row r="2" spans="1:2" x14ac:dyDescent="0.25">
      <c r="A2" t="s">
        <v>12</v>
      </c>
      <c r="B2" t="s">
        <v>13</v>
      </c>
    </row>
    <row r="3" spans="1:2" x14ac:dyDescent="0.25">
      <c r="A3" t="s">
        <v>121</v>
      </c>
      <c r="B3">
        <v>0</v>
      </c>
    </row>
    <row r="4" spans="1:2" x14ac:dyDescent="0.25">
      <c r="A4" t="s">
        <v>8</v>
      </c>
      <c r="B4">
        <v>1</v>
      </c>
    </row>
    <row r="5" spans="1:2" x14ac:dyDescent="0.25">
      <c r="A5" t="s">
        <v>9</v>
      </c>
      <c r="B5">
        <v>2</v>
      </c>
    </row>
    <row r="6" spans="1:2" x14ac:dyDescent="0.25">
      <c r="A6" t="s">
        <v>10</v>
      </c>
      <c r="B6">
        <v>3</v>
      </c>
    </row>
  </sheetData>
  <mergeCells count="1">
    <mergeCell ref="A1:B1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Configuracion</vt:lpstr>
      <vt:lpstr>Actores</vt:lpstr>
      <vt:lpstr>CasosDeUso</vt:lpstr>
      <vt:lpstr>TCF</vt:lpstr>
      <vt:lpstr>ECF</vt:lpstr>
      <vt:lpstr>Resultados</vt:lpstr>
      <vt:lpstr>Opciones</vt:lpstr>
      <vt:lpstr>Actors_ComplexityTags</vt:lpstr>
      <vt:lpstr>Actors_UUCP_A</vt:lpstr>
      <vt:lpstr>ECF_AECF</vt:lpstr>
      <vt:lpstr>ECF_EC</vt:lpstr>
      <vt:lpstr>ECF_EWF</vt:lpstr>
      <vt:lpstr>Results_AECF</vt:lpstr>
      <vt:lpstr>Results_AP</vt:lpstr>
      <vt:lpstr>Results_ATCF</vt:lpstr>
      <vt:lpstr>Results_AUCP</vt:lpstr>
      <vt:lpstr>Results_EE</vt:lpstr>
      <vt:lpstr>Results_UUCP</vt:lpstr>
      <vt:lpstr>Results_UUCP_A</vt:lpstr>
      <vt:lpstr>Results_UUCP_U</vt:lpstr>
      <vt:lpstr>TCF_ATCF</vt:lpstr>
      <vt:lpstr>TCF_TC</vt:lpstr>
      <vt:lpstr>TCF_TWF</vt:lpstr>
      <vt:lpstr>UseCases_ClassesWeight</vt:lpstr>
      <vt:lpstr>UseCases_EntitiesWeight</vt:lpstr>
      <vt:lpstr>UseCases_SequencesWeight</vt:lpstr>
      <vt:lpstr>UseCases_UUCP_U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Axel Pardemann</dc:creator>
  <cp:lastModifiedBy>Axel Pardemann</cp:lastModifiedBy>
  <dcterms:created xsi:type="dcterms:W3CDTF">2014-05-15T16:40:43Z</dcterms:created>
  <dcterms:modified xsi:type="dcterms:W3CDTF">2014-05-16T19:19:06Z</dcterms:modified>
</cp:coreProperties>
</file>